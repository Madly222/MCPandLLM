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7820" yWindow="-21600" windowWidth="20640" windowHeight="20560" tabRatio="500"/>
  </bookViews>
  <sheets>
    <sheet name="MICB ФОРМА  (Арм38) (2) act _sm" sheetId="10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7" i="10" l="1"/>
  <c r="I8" i="10"/>
  <c r="I9" i="10"/>
  <c r="I10" i="10"/>
  <c r="I11" i="10"/>
  <c r="I12" i="10"/>
  <c r="I13" i="10"/>
  <c r="I14" i="10"/>
  <c r="I16" i="10"/>
  <c r="E17" i="10"/>
  <c r="I17" i="10"/>
  <c r="I18" i="10"/>
  <c r="E19" i="10"/>
  <c r="I19" i="10"/>
  <c r="I20" i="10"/>
  <c r="G21" i="10"/>
  <c r="I21" i="10"/>
  <c r="I22" i="10"/>
  <c r="I24" i="10"/>
  <c r="I25" i="10"/>
  <c r="H7" i="10"/>
  <c r="H8" i="10"/>
  <c r="H9" i="10"/>
  <c r="H10" i="10"/>
  <c r="H11" i="10"/>
  <c r="H12" i="10"/>
  <c r="H13" i="10"/>
  <c r="H14" i="10"/>
  <c r="H16" i="10"/>
  <c r="H17" i="10"/>
  <c r="H18" i="10"/>
  <c r="H19" i="10"/>
  <c r="H20" i="10"/>
  <c r="H21" i="10"/>
  <c r="H22" i="10"/>
  <c r="H24" i="10"/>
  <c r="H25" i="10"/>
  <c r="F22" i="10"/>
  <c r="F21" i="10"/>
  <c r="F20" i="10"/>
  <c r="F19" i="10"/>
  <c r="F18" i="10"/>
  <c r="F17" i="10"/>
  <c r="F16" i="10"/>
  <c r="F13" i="10"/>
  <c r="F12" i="10"/>
  <c r="F11" i="10"/>
  <c r="F10" i="10"/>
  <c r="F9" i="10"/>
  <c r="F8" i="10"/>
  <c r="F7" i="10"/>
</calcChain>
</file>

<file path=xl/sharedStrings.xml><?xml version="1.0" encoding="utf-8"?>
<sst xmlns="http://schemas.openxmlformats.org/spreadsheetml/2006/main" count="44" uniqueCount="32">
  <si>
    <t>Retea locala LAN</t>
  </si>
  <si>
    <t>BENEFICIAR: “Moldindconbank” S.A.</t>
  </si>
  <si>
    <t>№</t>
  </si>
  <si>
    <t>Denumire</t>
  </si>
  <si>
    <t>U.m.</t>
  </si>
  <si>
    <t>Cant-te</t>
  </si>
  <si>
    <t>Preţ, fara TVA</t>
  </si>
  <si>
    <t>Preţ, inclusiv TVA</t>
  </si>
  <si>
    <t>Suma, fara TVA</t>
  </si>
  <si>
    <t>Suma, inclusiv TVA</t>
  </si>
  <si>
    <t>Materiale:</t>
  </si>
  <si>
    <t>buc</t>
  </si>
  <si>
    <t>m</t>
  </si>
  <si>
    <t>Cable UTP cat 5e "Legrand"</t>
  </si>
  <si>
    <t>Module (Keystone Jack) RJ45 Cat.5e UTP</t>
  </si>
  <si>
    <t>Total materiale</t>
  </si>
  <si>
    <t>Executare de lucrări</t>
  </si>
  <si>
    <t>Пробивка стен из кирпича или бетона с помощью бура до 500 мм.</t>
  </si>
  <si>
    <t xml:space="preserve">Монтаж кабель-канала </t>
  </si>
  <si>
    <t>Установка и подключение сетевой розетки</t>
  </si>
  <si>
    <t xml:space="preserve">Обжим коннектора </t>
  </si>
  <si>
    <t>Монтаж и подключение патч панелей</t>
  </si>
  <si>
    <t xml:space="preserve">Маркировка и нумерация (labeling) СКС и электрических проводов и роозеток </t>
  </si>
  <si>
    <t>Total lucrari</t>
  </si>
  <si>
    <t>TOTAL</t>
  </si>
  <si>
    <t xml:space="preserve">M6 комплект крепежа </t>
  </si>
  <si>
    <t>Напольный короб</t>
  </si>
  <si>
    <t>Patch Panel 24xRJ45 UTP cat 5e 1U rama</t>
  </si>
  <si>
    <t xml:space="preserve">Укладка кабеля </t>
  </si>
  <si>
    <t>Support 2М - RAMA PDA-BN 80 BRAVA 2 MODULE 43X43MM ALBA DKC 10443 = RuVinl Arctika</t>
  </si>
  <si>
    <t xml:space="preserve">Support RJ45 DKC - ADAPTOR 1 MODUL KEYSTONE ALB </t>
  </si>
  <si>
    <t>or. Chisinau, str. Armeana 38, 5 этаж - малый конференц рум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</si>
</sst>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News Gothic MT"/>
    </font>
    <font>
      <u/>
      <sz val="10"/>
      <color indexed="12"/>
      <name val="Verdana"/>
    </font>
    <font>
      <sz val="10"/>
      <name val="Verdana"/>
    </font>
    <font>
      <sz val="10"/>
      <name val="Helvetica"/>
    </font>
    <font>
      <sz val="11"/>
      <color indexed="8"/>
      <name val="Calibri"/>
      <family val="2"/>
    </font>
    <font>
      <sz val="11"/>
      <name val="Times New Roman"/>
      <family val="1"/>
    </font>
    <font>
      <b/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430">
    <xf numFmtId="0" fontId="0" fillId="0" borderId="0"/>
    <xf numFmtId="0" fontId="6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" fillId="0" borderId="0"/>
    <xf numFmtId="0" fontId="1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7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8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53">
    <xf numFmtId="0" fontId="0" fillId="0" borderId="0" xfId="0"/>
    <xf numFmtId="0" fontId="8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vertical="center" wrapText="1"/>
    </xf>
    <xf numFmtId="2" fontId="8" fillId="0" borderId="1" xfId="1" applyNumberFormat="1" applyFont="1" applyFill="1" applyBorder="1" applyAlignment="1">
      <alignment horizontal="right" vertical="center"/>
    </xf>
    <xf numFmtId="2" fontId="8" fillId="0" borderId="1" xfId="1" applyNumberFormat="1" applyFont="1" applyFill="1" applyBorder="1" applyAlignment="1">
      <alignment horizontal="center" vertical="center" wrapText="1"/>
    </xf>
    <xf numFmtId="2" fontId="8" fillId="0" borderId="1" xfId="1" applyNumberFormat="1" applyFont="1" applyFill="1" applyBorder="1" applyAlignment="1">
      <alignment horizontal="right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9" fillId="0" borderId="0" xfId="132" applyFont="1" applyFill="1" applyAlignment="1">
      <alignment horizontal="left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wrapText="1"/>
    </xf>
    <xf numFmtId="0" fontId="20" fillId="0" borderId="0" xfId="1" applyFont="1" applyFill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21" fillId="0" borderId="0" xfId="1" applyFont="1" applyAlignment="1">
      <alignment vertical="center"/>
    </xf>
    <xf numFmtId="0" fontId="7" fillId="0" borderId="0" xfId="1" applyFont="1" applyFill="1" applyAlignment="1">
      <alignment vertical="center"/>
    </xf>
    <xf numFmtId="0" fontId="7" fillId="0" borderId="0" xfId="1" applyFont="1" applyFill="1" applyAlignment="1">
      <alignment horizontal="left" vertical="top"/>
    </xf>
    <xf numFmtId="0" fontId="7" fillId="0" borderId="0" xfId="1" applyFont="1" applyFill="1" applyAlignment="1">
      <alignment horizontal="center" vertical="center"/>
    </xf>
    <xf numFmtId="2" fontId="7" fillId="0" borderId="0" xfId="1" applyNumberFormat="1" applyFont="1" applyFill="1" applyAlignment="1">
      <alignment horizontal="right" vertical="center"/>
    </xf>
    <xf numFmtId="0" fontId="21" fillId="0" borderId="0" xfId="1" applyFont="1"/>
    <xf numFmtId="0" fontId="13" fillId="0" borderId="0" xfId="1" applyFont="1" applyFill="1" applyAlignment="1">
      <alignment horizontal="center" vertical="center"/>
    </xf>
    <xf numFmtId="14" fontId="7" fillId="0" borderId="0" xfId="1" applyNumberFormat="1" applyFont="1" applyFill="1" applyAlignment="1">
      <alignment horizontal="right" vertical="center"/>
    </xf>
    <xf numFmtId="0" fontId="11" fillId="0" borderId="1" xfId="1" applyFont="1" applyFill="1" applyBorder="1" applyAlignment="1">
      <alignment horizontal="center" vertical="center" wrapText="1"/>
    </xf>
    <xf numFmtId="0" fontId="20" fillId="0" borderId="1" xfId="1" applyFont="1" applyFill="1" applyBorder="1" applyAlignment="1">
      <alignment horizontal="center" vertical="center"/>
    </xf>
    <xf numFmtId="0" fontId="20" fillId="0" borderId="1" xfId="1" applyFont="1" applyFill="1" applyBorder="1" applyAlignment="1">
      <alignment horizontal="center" vertical="center" wrapText="1"/>
    </xf>
    <xf numFmtId="2" fontId="20" fillId="0" borderId="1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2" fontId="7" fillId="0" borderId="1" xfId="1" applyNumberFormat="1" applyFont="1" applyFill="1" applyBorder="1" applyAlignment="1">
      <alignment horizontal="right" vertical="center"/>
    </xf>
    <xf numFmtId="0" fontId="21" fillId="0" borderId="0" xfId="1" applyFont="1" applyFill="1"/>
    <xf numFmtId="0" fontId="12" fillId="0" borderId="1" xfId="1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2" fontId="11" fillId="0" borderId="1" xfId="1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20" fillId="0" borderId="1" xfId="1" applyFont="1" applyFill="1" applyBorder="1" applyAlignment="1">
      <alignment horizontal="right" vertical="center"/>
    </xf>
    <xf numFmtId="2" fontId="11" fillId="0" borderId="1" xfId="1" applyNumberFormat="1" applyFont="1" applyFill="1" applyBorder="1" applyAlignment="1">
      <alignment horizontal="right" vertical="center" wrapText="1"/>
    </xf>
    <xf numFmtId="0" fontId="21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2" fontId="21" fillId="0" borderId="0" xfId="1" applyNumberFormat="1" applyFont="1" applyAlignment="1">
      <alignment horizontal="right" vertical="center"/>
    </xf>
    <xf numFmtId="0" fontId="8" fillId="0" borderId="1" xfId="423" applyFont="1" applyFill="1" applyBorder="1" applyAlignment="1">
      <alignment wrapText="1"/>
    </xf>
    <xf numFmtId="0" fontId="8" fillId="0" borderId="1" xfId="423" applyFont="1" applyFill="1" applyBorder="1" applyAlignment="1">
      <alignment horizontal="center" vertical="center" wrapText="1"/>
    </xf>
    <xf numFmtId="2" fontId="8" fillId="0" borderId="1" xfId="423" applyNumberFormat="1" applyFont="1" applyFill="1" applyBorder="1" applyAlignment="1">
      <alignment horizontal="center" vertical="center" wrapText="1"/>
    </xf>
    <xf numFmtId="2" fontId="8" fillId="0" borderId="1" xfId="423" applyNumberFormat="1" applyFont="1" applyFill="1" applyBorder="1" applyAlignment="1">
      <alignment horizontal="right" vertical="center" wrapText="1"/>
    </xf>
    <xf numFmtId="2" fontId="8" fillId="0" borderId="1" xfId="423" applyNumberFormat="1" applyFont="1" applyFill="1" applyBorder="1" applyAlignment="1">
      <alignment horizontal="right" vertical="center"/>
    </xf>
    <xf numFmtId="0" fontId="11" fillId="0" borderId="2" xfId="1" applyFont="1" applyFill="1" applyBorder="1" applyAlignment="1">
      <alignment horizontal="left"/>
    </xf>
    <xf numFmtId="0" fontId="11" fillId="0" borderId="3" xfId="1" applyFont="1" applyFill="1" applyBorder="1" applyAlignment="1">
      <alignment horizontal="left"/>
    </xf>
    <xf numFmtId="0" fontId="11" fillId="0" borderId="4" xfId="1" applyFont="1" applyFill="1" applyBorder="1" applyAlignment="1">
      <alignment horizontal="left"/>
    </xf>
    <xf numFmtId="0" fontId="13" fillId="0" borderId="2" xfId="1" applyFont="1" applyFill="1" applyBorder="1" applyAlignment="1">
      <alignment horizontal="left" vertical="center" wrapText="1"/>
    </xf>
    <xf numFmtId="0" fontId="13" fillId="0" borderId="3" xfId="1" applyFont="1" applyFill="1" applyBorder="1" applyAlignment="1">
      <alignment horizontal="left" vertical="center" wrapText="1"/>
    </xf>
    <xf numFmtId="0" fontId="13" fillId="0" borderId="4" xfId="1" applyFont="1" applyFill="1" applyBorder="1" applyAlignment="1">
      <alignment horizontal="left" vertical="center" wrapText="1"/>
    </xf>
    <xf numFmtId="0" fontId="7" fillId="0" borderId="0" xfId="1" applyFont="1"/>
    <xf numFmtId="0" fontId="7" fillId="0" borderId="0" xfId="1" applyFont="1" applyAlignment="1">
      <alignment vertical="center"/>
    </xf>
    <xf numFmtId="2" fontId="7" fillId="0" borderId="0" xfId="1" applyNumberFormat="1" applyFont="1" applyAlignment="1">
      <alignment horizontal="right" vertical="center"/>
    </xf>
    <xf numFmtId="0" fontId="7" fillId="0" borderId="0" xfId="1" applyFont="1" applyFill="1"/>
  </cellXfs>
  <cellStyles count="430">
    <cellStyle name="Обычный 2" xfId="331"/>
    <cellStyle name="Обычный_SYMANTEC_FEB08_D" xfId="103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8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7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4" builtinId="8" hidden="1"/>
    <cellStyle name="Hyperlink" xfId="426" builtinId="8" hidden="1"/>
    <cellStyle name="Hyperlink" xfId="428" builtinId="8" hidden="1"/>
    <cellStyle name="Hyperlink 2" xfId="104"/>
    <cellStyle name="Normal" xfId="0" builtinId="0"/>
    <cellStyle name="Normal 2" xfId="1"/>
    <cellStyle name="Normal 2 2" xfId="2"/>
    <cellStyle name="Normal 2 2 2" xfId="102"/>
    <cellStyle name="Normal 2 2 2 2" xfId="109"/>
    <cellStyle name="Normal 2 2 3" xfId="400"/>
    <cellStyle name="Normal 2 2 4" xfId="423"/>
    <cellStyle name="Normal 3" xfId="3"/>
    <cellStyle name="Normal 4" xfId="105"/>
    <cellStyle name="Normal_Oferta_canal_metalic-lucrari_upd GO.xls" xfId="132"/>
    <cellStyle name="Style 1" xfId="106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25"/>
  <sheetViews>
    <sheetView tabSelected="1" workbookViewId="0">
      <selection activeCell="E42" sqref="E42"/>
    </sheetView>
  </sheetViews>
  <sheetFormatPr baseColWidth="10" defaultColWidth="9.1640625" defaultRowHeight="15" x14ac:dyDescent="0"/>
  <cols>
    <col min="1" max="1" width="9.1640625" style="18"/>
    <col min="2" max="2" width="4.1640625" style="35" bestFit="1" customWidth="1"/>
    <col min="3" max="3" width="36.83203125" style="13" customWidth="1"/>
    <col min="4" max="4" width="6.1640625" style="36" bestFit="1" customWidth="1"/>
    <col min="5" max="5" width="10.33203125" style="35" bestFit="1" customWidth="1"/>
    <col min="6" max="6" width="11.1640625" style="35" bestFit="1" customWidth="1"/>
    <col min="7" max="7" width="12.5" style="35" bestFit="1" customWidth="1"/>
    <col min="8" max="8" width="11.83203125" style="37" customWidth="1"/>
    <col min="9" max="9" width="12" style="37" customWidth="1"/>
    <col min="10" max="16384" width="9.1640625" style="18"/>
  </cols>
  <sheetData>
    <row r="1" spans="1:9">
      <c r="A1" s="49"/>
      <c r="B1" s="36"/>
      <c r="C1" s="50"/>
      <c r="E1" s="36"/>
      <c r="F1" s="36"/>
      <c r="G1" s="36"/>
      <c r="H1" s="51"/>
      <c r="I1" s="51"/>
    </row>
    <row r="2" spans="1:9">
      <c r="A2" s="50"/>
      <c r="B2" s="14"/>
      <c r="C2" s="11" t="s">
        <v>0</v>
      </c>
      <c r="D2" s="15" t="s">
        <v>31</v>
      </c>
      <c r="E2" s="16"/>
      <c r="F2" s="16"/>
      <c r="G2" s="16"/>
      <c r="H2" s="17"/>
      <c r="I2" s="17"/>
    </row>
    <row r="3" spans="1:9">
      <c r="A3" s="49"/>
      <c r="B3" s="19"/>
      <c r="C3" s="11" t="s">
        <v>1</v>
      </c>
      <c r="D3" s="16"/>
      <c r="E3" s="20"/>
      <c r="F3" s="16"/>
      <c r="G3" s="16"/>
      <c r="H3" s="17"/>
      <c r="I3" s="20"/>
    </row>
    <row r="4" spans="1:9">
      <c r="A4" s="49"/>
      <c r="B4" s="19"/>
      <c r="C4" s="14"/>
      <c r="D4" s="16"/>
      <c r="E4" s="16"/>
      <c r="F4" s="16"/>
      <c r="G4" s="16"/>
      <c r="H4" s="17"/>
      <c r="I4" s="20">
        <v>45961</v>
      </c>
    </row>
    <row r="5" spans="1:9" ht="30">
      <c r="A5" s="49"/>
      <c r="B5" s="21" t="s">
        <v>2</v>
      </c>
      <c r="C5" s="22" t="s">
        <v>3</v>
      </c>
      <c r="D5" s="23" t="s">
        <v>4</v>
      </c>
      <c r="E5" s="23" t="s">
        <v>5</v>
      </c>
      <c r="F5" s="24" t="s">
        <v>6</v>
      </c>
      <c r="G5" s="24" t="s">
        <v>7</v>
      </c>
      <c r="H5" s="24" t="s">
        <v>8</v>
      </c>
      <c r="I5" s="24" t="s">
        <v>9</v>
      </c>
    </row>
    <row r="6" spans="1:9">
      <c r="A6" s="49"/>
      <c r="B6" s="43" t="s">
        <v>10</v>
      </c>
      <c r="C6" s="44"/>
      <c r="D6" s="45"/>
      <c r="E6" s="25"/>
      <c r="F6" s="25"/>
      <c r="G6" s="25"/>
      <c r="H6" s="26"/>
      <c r="I6" s="26"/>
    </row>
    <row r="7" spans="1:9" s="27" customFormat="1">
      <c r="A7" s="52"/>
      <c r="B7" s="1">
        <v>1</v>
      </c>
      <c r="C7" s="2" t="s">
        <v>13</v>
      </c>
      <c r="D7" s="1" t="s">
        <v>12</v>
      </c>
      <c r="E7" s="8">
        <v>1050</v>
      </c>
      <c r="F7" s="4">
        <f t="shared" ref="F7" si="0">G7/1.2</f>
        <v>9.1666666666666679</v>
      </c>
      <c r="G7" s="4">
        <v>11</v>
      </c>
      <c r="H7" s="5">
        <f t="shared" ref="H7" si="1">I7/1.2</f>
        <v>9625</v>
      </c>
      <c r="I7" s="5">
        <f t="shared" ref="I7" si="2">G7*E7</f>
        <v>11550</v>
      </c>
    </row>
    <row r="8" spans="1:9">
      <c r="A8" s="50"/>
      <c r="B8" s="1">
        <v>2</v>
      </c>
      <c r="C8" s="2" t="s">
        <v>27</v>
      </c>
      <c r="D8" s="1" t="s">
        <v>11</v>
      </c>
      <c r="E8" s="8">
        <v>1</v>
      </c>
      <c r="F8" s="4">
        <f>G8/1.2</f>
        <v>333.33333333333337</v>
      </c>
      <c r="G8" s="4">
        <v>400</v>
      </c>
      <c r="H8" s="5">
        <f>I8/1.2</f>
        <v>333.33333333333337</v>
      </c>
      <c r="I8" s="5">
        <f>G8*E8</f>
        <v>400</v>
      </c>
    </row>
    <row r="9" spans="1:9">
      <c r="A9" s="50"/>
      <c r="B9" s="1">
        <v>3</v>
      </c>
      <c r="C9" s="2" t="s">
        <v>26</v>
      </c>
      <c r="D9" s="1" t="s">
        <v>12</v>
      </c>
      <c r="E9" s="12">
        <v>4</v>
      </c>
      <c r="F9" s="4">
        <f t="shared" ref="F9" si="3">G9/1.2</f>
        <v>66.666666666666671</v>
      </c>
      <c r="G9" s="4">
        <v>80</v>
      </c>
      <c r="H9" s="5">
        <f t="shared" ref="H9:H13" si="4">I9/1.2</f>
        <v>266.66666666666669</v>
      </c>
      <c r="I9" s="5">
        <f t="shared" ref="I9:I13" si="5">G9*E9</f>
        <v>320</v>
      </c>
    </row>
    <row r="10" spans="1:9" s="7" customFormat="1" ht="36">
      <c r="A10" s="50"/>
      <c r="B10" s="1">
        <v>4</v>
      </c>
      <c r="C10" s="2" t="s">
        <v>29</v>
      </c>
      <c r="D10" s="1" t="s">
        <v>11</v>
      </c>
      <c r="E10" s="8">
        <v>6</v>
      </c>
      <c r="F10" s="4">
        <f>G10/1.2</f>
        <v>43.333333333333336</v>
      </c>
      <c r="G10" s="4">
        <v>52</v>
      </c>
      <c r="H10" s="5">
        <f t="shared" si="4"/>
        <v>260</v>
      </c>
      <c r="I10" s="5">
        <f t="shared" si="5"/>
        <v>312</v>
      </c>
    </row>
    <row r="11" spans="1:9" s="7" customFormat="1" ht="24">
      <c r="A11" s="50"/>
      <c r="B11" s="1">
        <v>5</v>
      </c>
      <c r="C11" s="2" t="s">
        <v>30</v>
      </c>
      <c r="D11" s="1" t="s">
        <v>11</v>
      </c>
      <c r="E11" s="8">
        <v>12</v>
      </c>
      <c r="F11" s="4">
        <f>G11/1.2</f>
        <v>21.666666666666668</v>
      </c>
      <c r="G11" s="4">
        <v>26</v>
      </c>
      <c r="H11" s="5">
        <f t="shared" si="4"/>
        <v>260</v>
      </c>
      <c r="I11" s="5">
        <f t="shared" si="5"/>
        <v>312</v>
      </c>
    </row>
    <row r="12" spans="1:9">
      <c r="A12" s="50"/>
      <c r="B12" s="1">
        <v>6</v>
      </c>
      <c r="C12" s="2" t="s">
        <v>14</v>
      </c>
      <c r="D12" s="1" t="s">
        <v>11</v>
      </c>
      <c r="E12" s="8">
        <v>24</v>
      </c>
      <c r="F12" s="4">
        <f t="shared" ref="F12:F13" si="6">G12/1.2</f>
        <v>20.833333333333336</v>
      </c>
      <c r="G12" s="4">
        <v>25</v>
      </c>
      <c r="H12" s="5">
        <f t="shared" si="4"/>
        <v>500</v>
      </c>
      <c r="I12" s="5">
        <f t="shared" si="5"/>
        <v>600</v>
      </c>
    </row>
    <row r="13" spans="1:9">
      <c r="A13" s="50"/>
      <c r="B13" s="1">
        <v>7</v>
      </c>
      <c r="C13" s="2" t="s">
        <v>25</v>
      </c>
      <c r="D13" s="1" t="s">
        <v>11</v>
      </c>
      <c r="E13" s="8">
        <v>4</v>
      </c>
      <c r="F13" s="4">
        <f t="shared" si="6"/>
        <v>2.5</v>
      </c>
      <c r="G13" s="4">
        <v>3</v>
      </c>
      <c r="H13" s="5">
        <f t="shared" si="4"/>
        <v>10</v>
      </c>
      <c r="I13" s="5">
        <f t="shared" si="5"/>
        <v>12</v>
      </c>
    </row>
    <row r="14" spans="1:9" ht="15.75" customHeight="1">
      <c r="A14" s="50"/>
      <c r="B14" s="1"/>
      <c r="C14" s="28" t="s">
        <v>15</v>
      </c>
      <c r="D14" s="1"/>
      <c r="E14" s="29"/>
      <c r="F14" s="30"/>
      <c r="G14" s="30"/>
      <c r="H14" s="31">
        <f>SUM(H7:H13)</f>
        <v>11255</v>
      </c>
      <c r="I14" s="31">
        <f>SUM(I7:I13)</f>
        <v>13506</v>
      </c>
    </row>
    <row r="15" spans="1:9" ht="15.75" customHeight="1">
      <c r="A15" s="50"/>
      <c r="B15" s="46" t="s">
        <v>16</v>
      </c>
      <c r="C15" s="47"/>
      <c r="D15" s="48"/>
      <c r="E15" s="32"/>
      <c r="F15" s="25"/>
      <c r="G15" s="25"/>
      <c r="H15" s="26"/>
      <c r="I15" s="26"/>
    </row>
    <row r="16" spans="1:9" ht="25">
      <c r="A16" s="50"/>
      <c r="B16" s="1">
        <v>1</v>
      </c>
      <c r="C16" s="38" t="s">
        <v>17</v>
      </c>
      <c r="D16" s="39" t="s">
        <v>11</v>
      </c>
      <c r="E16" s="9">
        <v>5</v>
      </c>
      <c r="F16" s="40">
        <f t="shared" ref="F16:F22" si="7">G16/1.2</f>
        <v>75</v>
      </c>
      <c r="G16" s="40">
        <v>90</v>
      </c>
      <c r="H16" s="41">
        <f t="shared" ref="H16:H22" si="8">I16/1.2</f>
        <v>375</v>
      </c>
      <c r="I16" s="42">
        <f t="shared" ref="I16:I22" si="9">G16*E16</f>
        <v>450</v>
      </c>
    </row>
    <row r="17" spans="1:9">
      <c r="A17" s="50"/>
      <c r="B17" s="1">
        <v>2</v>
      </c>
      <c r="C17" s="10" t="s">
        <v>28</v>
      </c>
      <c r="D17" s="1" t="s">
        <v>12</v>
      </c>
      <c r="E17" s="8">
        <f>E7</f>
        <v>1050</v>
      </c>
      <c r="F17" s="4">
        <f t="shared" si="7"/>
        <v>5.8333333333333339</v>
      </c>
      <c r="G17" s="4">
        <v>7</v>
      </c>
      <c r="H17" s="5">
        <f t="shared" si="8"/>
        <v>6125</v>
      </c>
      <c r="I17" s="3">
        <f t="shared" si="9"/>
        <v>7350</v>
      </c>
    </row>
    <row r="18" spans="1:9">
      <c r="A18" s="50"/>
      <c r="B18" s="1">
        <v>3</v>
      </c>
      <c r="C18" s="2" t="s">
        <v>19</v>
      </c>
      <c r="D18" s="1" t="s">
        <v>11</v>
      </c>
      <c r="E18" s="8">
        <v>28</v>
      </c>
      <c r="F18" s="4">
        <f t="shared" si="7"/>
        <v>37.5</v>
      </c>
      <c r="G18" s="4">
        <v>45</v>
      </c>
      <c r="H18" s="5">
        <f t="shared" si="8"/>
        <v>1050</v>
      </c>
      <c r="I18" s="5">
        <f t="shared" si="9"/>
        <v>1260</v>
      </c>
    </row>
    <row r="19" spans="1:9">
      <c r="A19" s="49"/>
      <c r="B19" s="1">
        <v>4</v>
      </c>
      <c r="C19" s="10" t="s">
        <v>18</v>
      </c>
      <c r="D19" s="1" t="s">
        <v>12</v>
      </c>
      <c r="E19" s="8">
        <f>E9</f>
        <v>4</v>
      </c>
      <c r="F19" s="4">
        <f t="shared" si="7"/>
        <v>19.583333333333336</v>
      </c>
      <c r="G19" s="4">
        <v>23.5</v>
      </c>
      <c r="H19" s="5">
        <f t="shared" si="8"/>
        <v>78.333333333333343</v>
      </c>
      <c r="I19" s="3">
        <f t="shared" si="9"/>
        <v>94</v>
      </c>
    </row>
    <row r="20" spans="1:9">
      <c r="A20" s="49"/>
      <c r="B20" s="1">
        <v>5</v>
      </c>
      <c r="C20" s="2" t="s">
        <v>20</v>
      </c>
      <c r="D20" s="1" t="s">
        <v>11</v>
      </c>
      <c r="E20" s="8">
        <v>28</v>
      </c>
      <c r="F20" s="4">
        <f t="shared" si="7"/>
        <v>20.833333333333336</v>
      </c>
      <c r="G20" s="4">
        <v>25</v>
      </c>
      <c r="H20" s="5">
        <f t="shared" si="8"/>
        <v>583.33333333333337</v>
      </c>
      <c r="I20" s="5">
        <f t="shared" si="9"/>
        <v>700</v>
      </c>
    </row>
    <row r="21" spans="1:9">
      <c r="A21" s="49"/>
      <c r="B21" s="1">
        <v>6</v>
      </c>
      <c r="C21" s="2" t="s">
        <v>21</v>
      </c>
      <c r="D21" s="1" t="s">
        <v>11</v>
      </c>
      <c r="E21" s="8">
        <v>1</v>
      </c>
      <c r="F21" s="4">
        <f t="shared" si="7"/>
        <v>416.66666666666669</v>
      </c>
      <c r="G21" s="4">
        <f>20*24+20</f>
        <v>500</v>
      </c>
      <c r="H21" s="5">
        <f t="shared" si="8"/>
        <v>416.66666666666669</v>
      </c>
      <c r="I21" s="5">
        <f t="shared" si="9"/>
        <v>500</v>
      </c>
    </row>
    <row r="22" spans="1:9" ht="24">
      <c r="A22" s="49"/>
      <c r="B22" s="1">
        <v>7</v>
      </c>
      <c r="C22" s="2" t="s">
        <v>22</v>
      </c>
      <c r="D22" s="1" t="s">
        <v>11</v>
      </c>
      <c r="E22" s="8">
        <v>14</v>
      </c>
      <c r="F22" s="4">
        <f t="shared" si="7"/>
        <v>25</v>
      </c>
      <c r="G22" s="4">
        <v>30</v>
      </c>
      <c r="H22" s="5">
        <f t="shared" si="8"/>
        <v>350</v>
      </c>
      <c r="I22" s="5">
        <f t="shared" si="9"/>
        <v>420</v>
      </c>
    </row>
    <row r="23" spans="1:9">
      <c r="A23" s="49"/>
      <c r="B23" s="1"/>
      <c r="C23" s="2"/>
      <c r="D23" s="1"/>
      <c r="E23" s="6"/>
      <c r="F23" s="4"/>
      <c r="G23" s="4"/>
      <c r="H23" s="5"/>
      <c r="I23" s="5"/>
    </row>
    <row r="24" spans="1:9">
      <c r="A24" s="49"/>
      <c r="B24" s="25"/>
      <c r="C24" s="33" t="s">
        <v>23</v>
      </c>
      <c r="D24" s="25"/>
      <c r="E24" s="25"/>
      <c r="F24" s="25"/>
      <c r="G24" s="25"/>
      <c r="H24" s="34">
        <f>SUM(H16:H22)</f>
        <v>8978.3333333333321</v>
      </c>
      <c r="I24" s="34">
        <f>SUM(I16:I22)</f>
        <v>10774</v>
      </c>
    </row>
    <row r="25" spans="1:9">
      <c r="A25" s="49"/>
      <c r="B25" s="25"/>
      <c r="C25" s="33" t="s">
        <v>24</v>
      </c>
      <c r="D25" s="25"/>
      <c r="E25" s="25"/>
      <c r="F25" s="25"/>
      <c r="G25" s="25"/>
      <c r="H25" s="31">
        <f>H14+H24</f>
        <v>20233.333333333332</v>
      </c>
      <c r="I25" s="31">
        <f>I14+I24</f>
        <v>24280</v>
      </c>
    </row>
  </sheetData>
  <mergeCells count="2">
    <mergeCell ref="B6:D6"/>
    <mergeCell ref="B15:D1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MICB ФОРМА  (Арм38) (2) act _sm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2025-10-24T09:39:20Z</cp:lastPrinted>
  <dcterms:created xsi:type="dcterms:W3CDTF">2023-04-25T09:53:20Z</dcterms:created>
  <dcterms:modified xsi:type="dcterms:W3CDTF">2025-10-31T12:27:57Z</dcterms:modified>
</cp:coreProperties>
</file>