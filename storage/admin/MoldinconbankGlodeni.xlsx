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1500" yWindow="-21600" windowWidth="27400" windowHeight="21160" tabRatio="500"/>
  </bookViews>
  <sheets>
    <sheet name="MICB 30 sm (2) акт =act_sm" sheetId="6" r:id="rId1"/>
    <sheet name="Sheet1" sheetId="1" r:id="rId2"/>
  </sheets>
  <definedNames>
    <definedName name="_xlnm._FilterDatabase" localSheetId="0" hidden="1">'MICB 30 sm (2) акт =act_sm'!#REF!</definedName>
    <definedName name="_xlnm.Print_Area" localSheetId="0">'MICB 30 sm (2) акт =act_sm'!#REF!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37" i="6" l="1"/>
  <c r="H37" i="6"/>
  <c r="D23" i="6"/>
  <c r="D38" i="6"/>
  <c r="H38" i="6"/>
  <c r="H39" i="6"/>
  <c r="H40" i="6"/>
  <c r="H41" i="6"/>
  <c r="D42" i="6"/>
  <c r="H42" i="6"/>
  <c r="D43" i="6"/>
  <c r="H43" i="6"/>
  <c r="H44" i="6"/>
  <c r="H46" i="6"/>
  <c r="H21" i="6"/>
  <c r="H22" i="6"/>
  <c r="H23" i="6"/>
  <c r="H24" i="6"/>
  <c r="D25" i="6"/>
  <c r="H25" i="6"/>
  <c r="H26" i="6"/>
  <c r="H27" i="6"/>
  <c r="H28" i="6"/>
  <c r="H29" i="6"/>
  <c r="H30" i="6"/>
  <c r="H31" i="6"/>
  <c r="H32" i="6"/>
  <c r="H33" i="6"/>
  <c r="H34" i="6"/>
  <c r="H47" i="6"/>
  <c r="G37" i="6"/>
  <c r="G38" i="6"/>
  <c r="G39" i="6"/>
  <c r="G40" i="6"/>
  <c r="G41" i="6"/>
  <c r="G42" i="6"/>
  <c r="G43" i="6"/>
  <c r="G44" i="6"/>
  <c r="G46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47" i="6"/>
  <c r="D45" i="6"/>
  <c r="H45" i="6"/>
  <c r="G45" i="6"/>
  <c r="E45" i="6"/>
  <c r="E44" i="6"/>
  <c r="E43" i="6"/>
  <c r="E42" i="6"/>
  <c r="E41" i="6"/>
  <c r="E40" i="6"/>
  <c r="E39" i="6"/>
  <c r="E38" i="6"/>
  <c r="E37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</calcChain>
</file>

<file path=xl/sharedStrings.xml><?xml version="1.0" encoding="utf-8"?>
<sst xmlns="http://schemas.openxmlformats.org/spreadsheetml/2006/main" count="68" uniqueCount="49">
  <si>
    <t xml:space="preserve">S.C. “Rapid Link” S.R.L. </t>
  </si>
  <si>
    <t>Chişinău, Republica Moldova, str. Gh. Asachi 71/7,</t>
  </si>
  <si>
    <t>C/F: 1007600035161, Cod TVA 0206925</t>
  </si>
  <si>
    <t xml:space="preserve">BC “ OTP Bank” SA, </t>
  </si>
  <si>
    <t>C/D: 2224710SV23214197100, SWIFT: MOBBMD22</t>
  </si>
  <si>
    <t xml:space="preserve">IBAN: MD78MO2224ASV23214197100 </t>
  </si>
  <si>
    <t>Telefon: +373 22 820832;  Fax: +373 22 820831</t>
  </si>
  <si>
    <t xml:space="preserve"> office@rapidlink.md;  www.rapidlink.md</t>
  </si>
  <si>
    <t>BENEFICIAR: “Moldindconbank” S.A.</t>
  </si>
  <si>
    <t>№</t>
  </si>
  <si>
    <t>Denumire</t>
  </si>
  <si>
    <t>U.m.</t>
  </si>
  <si>
    <t>Cant-te</t>
  </si>
  <si>
    <t>Preţ, fara TVA</t>
  </si>
  <si>
    <t>Preţ, inclusiv TVA</t>
  </si>
  <si>
    <t>Suma, fara TVA</t>
  </si>
  <si>
    <t>Suma, inclusiv TVA</t>
  </si>
  <si>
    <t>Materiale:</t>
  </si>
  <si>
    <t>Corob plastic 40Х25</t>
  </si>
  <si>
    <t>m</t>
  </si>
  <si>
    <t>Напольный короб</t>
  </si>
  <si>
    <t>Cable UTP cat 5e (4*2*0.50, PVC alb, cupru curat)</t>
  </si>
  <si>
    <t>buc</t>
  </si>
  <si>
    <t>Connector RJ45</t>
  </si>
  <si>
    <t>Распорные  дюбеля  6х40</t>
  </si>
  <si>
    <t>Total materiale</t>
  </si>
  <si>
    <t>Executare de lucrări</t>
  </si>
  <si>
    <t xml:space="preserve">Монтаж кабель-канала </t>
  </si>
  <si>
    <t xml:space="preserve">Обжим коннектора </t>
  </si>
  <si>
    <t>Установка телекоммуникационного шкафа</t>
  </si>
  <si>
    <t>Монтаж и подключение ПДУ</t>
  </si>
  <si>
    <t>Прокладка электрического кабеля (220V)</t>
  </si>
  <si>
    <t xml:space="preserve">Установка и подключение внешней розетки электропитания </t>
  </si>
  <si>
    <t xml:space="preserve">Маркировка и нумерация (labeling) СКС и электрических проводов и роозеток </t>
  </si>
  <si>
    <t>Total lucrari</t>
  </si>
  <si>
    <t>TOTAL</t>
  </si>
  <si>
    <t>Cable electric 3x2,5 PVC</t>
  </si>
  <si>
    <t>Legături de cablu 3.6x200 (Strapuri)</t>
  </si>
  <si>
    <t>Клипсы настенные с хомутом</t>
  </si>
  <si>
    <t xml:space="preserve">Fisa electric - Вилка электрическая </t>
  </si>
  <si>
    <t>Priza electric 2P+E х4 (четвертная колодка)</t>
  </si>
  <si>
    <t>Priza electric 2P+E х3 (тройник колодка)</t>
  </si>
  <si>
    <t>Priza electric 2P+E х2 настенная навесная</t>
  </si>
  <si>
    <t xml:space="preserve">Протяжка кабеля </t>
  </si>
  <si>
    <t>Priza interna 2xRJ12/RJ45 cu uşiţe p/u doza</t>
  </si>
  <si>
    <t>Deviz</t>
  </si>
  <si>
    <t>Транспорт</t>
  </si>
  <si>
    <t>км</t>
  </si>
  <si>
    <t>Privind executarea lucrărilor de instalare şi reconstrucţie/modernizare/reparaţie a reţelelor locale de calcul şi telecomunicaţii in sediul “Moldindconbank” S.A. filial or. Glodeni (temporar), str. Suveranitatii, 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</si>
</sst>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0"/>
      <name val="Verdana"/>
    </font>
    <font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6"/>
      <name val="Times New Roman"/>
    </font>
    <font>
      <sz val="11"/>
      <name val="Times New Roman"/>
      <family val="1"/>
    </font>
    <font>
      <b/>
      <sz val="11"/>
      <name val="Times New Roman"/>
    </font>
    <font>
      <u/>
      <sz val="10"/>
      <color indexed="12"/>
      <name val="Verdana"/>
    </font>
    <font>
      <b/>
      <i/>
      <sz val="10"/>
      <name val="Times New Roman"/>
      <family val="1"/>
      <charset val="204"/>
    </font>
    <font>
      <sz val="10"/>
      <name val="TimesNewRomanPSMT"/>
    </font>
    <font>
      <sz val="10"/>
      <name val="News Gothic MT"/>
    </font>
    <font>
      <sz val="10"/>
      <name val="Helvetica"/>
    </font>
    <font>
      <u/>
      <sz val="12"/>
      <color theme="10"/>
      <name val="Calibri"/>
      <family val="2"/>
      <charset val="204"/>
      <scheme val="minor"/>
    </font>
    <font>
      <u/>
      <sz val="12"/>
      <color theme="11"/>
      <name val="Calibri"/>
      <family val="2"/>
      <charset val="204"/>
      <scheme val="minor"/>
    </font>
    <font>
      <b/>
      <sz val="11"/>
      <name val="TimesNewRomanPSMT"/>
    </font>
    <font>
      <b/>
      <i/>
      <sz val="12"/>
      <name val="Times New Roman"/>
      <family val="1"/>
      <charset val="204"/>
    </font>
    <font>
      <u/>
      <sz val="10"/>
      <name val="Verdana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22">
    <xf numFmtId="0" fontId="0" fillId="0" borderId="0"/>
    <xf numFmtId="0" fontId="3" fillId="0" borderId="0"/>
    <xf numFmtId="0" fontId="8" fillId="0" borderId="0"/>
    <xf numFmtId="0" fontId="9" fillId="0" borderId="0"/>
    <xf numFmtId="0" fontId="9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" fillId="0" borderId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" fillId="0" borderId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75">
    <xf numFmtId="0" fontId="0" fillId="0" borderId="0" xfId="0"/>
    <xf numFmtId="0" fontId="4" fillId="0" borderId="0" xfId="1" applyFont="1"/>
    <xf numFmtId="0" fontId="5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7" fillId="0" borderId="0" xfId="1" applyFont="1" applyAlignment="1">
      <alignment horizontal="center"/>
    </xf>
    <xf numFmtId="0" fontId="4" fillId="0" borderId="0" xfId="2" applyFont="1" applyFill="1"/>
    <xf numFmtId="0" fontId="10" fillId="0" borderId="0" xfId="3" applyFont="1" applyFill="1" applyBorder="1" applyAlignment="1">
      <alignment horizontal="center" vertical="center"/>
    </xf>
    <xf numFmtId="0" fontId="4" fillId="0" borderId="0" xfId="2" applyFont="1" applyFill="1" applyBorder="1" applyAlignment="1">
      <alignment horizontal="center" vertical="center"/>
    </xf>
    <xf numFmtId="0" fontId="7" fillId="0" borderId="0" xfId="2" applyFont="1" applyFill="1" applyBorder="1"/>
    <xf numFmtId="0" fontId="11" fillId="0" borderId="0" xfId="4" applyFont="1" applyFill="1" applyBorder="1" applyAlignment="1">
      <alignment horizontal="left" vertical="center"/>
    </xf>
    <xf numFmtId="0" fontId="4" fillId="0" borderId="0" xfId="2" applyFont="1" applyFill="1" applyBorder="1"/>
    <xf numFmtId="0" fontId="11" fillId="0" borderId="0" xfId="4" applyFont="1" applyFill="1" applyBorder="1" applyAlignment="1">
      <alignment horizontal="center" vertical="center"/>
    </xf>
    <xf numFmtId="0" fontId="11" fillId="0" borderId="0" xfId="4" applyFont="1" applyFill="1" applyAlignment="1">
      <alignment horizontal="center" vertical="center"/>
    </xf>
    <xf numFmtId="0" fontId="12" fillId="0" borderId="0" xfId="2" applyNumberFormat="1" applyFont="1" applyFill="1" applyAlignment="1" applyProtection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4" applyFont="1" applyFill="1" applyAlignment="1">
      <alignment horizontal="left" vertical="center"/>
    </xf>
    <xf numFmtId="1" fontId="11" fillId="0" borderId="0" xfId="4" applyNumberFormat="1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/>
    </xf>
    <xf numFmtId="0" fontId="4" fillId="0" borderId="7" xfId="0" applyFont="1" applyBorder="1" applyAlignment="1">
      <alignment horizontal="center" vertical="center" wrapText="1"/>
    </xf>
    <xf numFmtId="0" fontId="4" fillId="0" borderId="1" xfId="2" applyFont="1" applyFill="1" applyBorder="1" applyAlignment="1">
      <alignment vertical="center" wrapText="1"/>
    </xf>
    <xf numFmtId="0" fontId="4" fillId="0" borderId="1" xfId="2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2" fontId="4" fillId="0" borderId="1" xfId="2" applyNumberFormat="1" applyFont="1" applyFill="1" applyBorder="1" applyAlignment="1">
      <alignment horizontal="center" vertical="center" wrapText="1"/>
    </xf>
    <xf numFmtId="2" fontId="4" fillId="0" borderId="1" xfId="2" applyNumberFormat="1" applyFont="1" applyFill="1" applyBorder="1" applyAlignment="1">
      <alignment horizontal="right" vertical="center" wrapText="1"/>
    </xf>
    <xf numFmtId="2" fontId="4" fillId="0" borderId="1" xfId="0" applyNumberFormat="1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2" fontId="7" fillId="0" borderId="1" xfId="2" applyNumberFormat="1" applyFont="1" applyFill="1" applyBorder="1" applyAlignment="1">
      <alignment horizontal="right" vertical="center"/>
    </xf>
    <xf numFmtId="0" fontId="4" fillId="0" borderId="1" xfId="2" applyFont="1" applyFill="1" applyBorder="1" applyAlignment="1">
      <alignment wrapText="1"/>
    </xf>
    <xf numFmtId="2" fontId="4" fillId="0" borderId="1" xfId="2" applyNumberFormat="1" applyFont="1" applyFill="1" applyBorder="1" applyAlignment="1">
      <alignment horizontal="right" vertical="center"/>
    </xf>
    <xf numFmtId="14" fontId="4" fillId="0" borderId="0" xfId="0" applyNumberFormat="1" applyFont="1" applyFill="1" applyAlignment="1">
      <alignment horizontal="center"/>
    </xf>
    <xf numFmtId="0" fontId="14" fillId="0" borderId="2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 wrapText="1"/>
    </xf>
    <xf numFmtId="2" fontId="14" fillId="0" borderId="2" xfId="0" applyNumberFormat="1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left"/>
    </xf>
    <xf numFmtId="0" fontId="7" fillId="0" borderId="5" xfId="0" applyFont="1" applyFill="1" applyBorder="1" applyAlignment="1">
      <alignment horizontal="left"/>
    </xf>
    <xf numFmtId="0" fontId="4" fillId="0" borderId="6" xfId="0" applyFont="1" applyFill="1" applyBorder="1" applyAlignment="1">
      <alignment horizontal="center" vertical="center"/>
    </xf>
    <xf numFmtId="2" fontId="4" fillId="0" borderId="6" xfId="0" applyNumberFormat="1" applyFont="1" applyFill="1" applyBorder="1" applyAlignment="1">
      <alignment horizontal="right" vertical="center"/>
    </xf>
    <xf numFmtId="0" fontId="4" fillId="0" borderId="6" xfId="0" applyFont="1" applyFill="1" applyBorder="1" applyAlignment="1">
      <alignment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15" fillId="0" borderId="9" xfId="0" applyFont="1" applyFill="1" applyBorder="1" applyAlignment="1">
      <alignment horizontal="center" vertical="center" wrapText="1"/>
    </xf>
    <xf numFmtId="2" fontId="4" fillId="0" borderId="6" xfId="0" applyNumberFormat="1" applyFont="1" applyFill="1" applyBorder="1" applyAlignment="1">
      <alignment horizontal="center" vertical="center" wrapText="1"/>
    </xf>
    <xf numFmtId="2" fontId="4" fillId="0" borderId="7" xfId="0" applyNumberFormat="1" applyFont="1" applyFill="1" applyBorder="1" applyAlignment="1">
      <alignment horizontal="center" vertical="center" wrapText="1"/>
    </xf>
    <xf numFmtId="0" fontId="14" fillId="0" borderId="11" xfId="0" applyFont="1" applyFill="1" applyBorder="1" applyAlignment="1">
      <alignment horizontal="right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left" vertical="center" wrapText="1"/>
    </xf>
    <xf numFmtId="0" fontId="4" fillId="0" borderId="11" xfId="0" applyFont="1" applyFill="1" applyBorder="1" applyAlignment="1">
      <alignment horizontal="center" vertical="center"/>
    </xf>
    <xf numFmtId="2" fontId="4" fillId="0" borderId="11" xfId="0" applyNumberFormat="1" applyFont="1" applyFill="1" applyBorder="1" applyAlignment="1">
      <alignment horizontal="right" vertical="center"/>
    </xf>
    <xf numFmtId="0" fontId="15" fillId="0" borderId="6" xfId="0" applyFont="1" applyFill="1" applyBorder="1" applyAlignment="1">
      <alignment wrapText="1"/>
    </xf>
    <xf numFmtId="0" fontId="15" fillId="0" borderId="12" xfId="0" applyFont="1" applyFill="1" applyBorder="1" applyAlignment="1">
      <alignment wrapText="1"/>
    </xf>
    <xf numFmtId="0" fontId="4" fillId="0" borderId="12" xfId="0" applyFont="1" applyFill="1" applyBorder="1" applyAlignment="1">
      <alignment horizontal="center" vertical="center" wrapText="1"/>
    </xf>
    <xf numFmtId="0" fontId="15" fillId="0" borderId="13" xfId="0" applyFont="1" applyFill="1" applyBorder="1" applyAlignment="1">
      <alignment horizontal="center" vertical="center" wrapText="1"/>
    </xf>
    <xf numFmtId="2" fontId="4" fillId="0" borderId="12" xfId="0" applyNumberFormat="1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right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right" vertical="center"/>
    </xf>
    <xf numFmtId="2" fontId="7" fillId="0" borderId="6" xfId="0" applyNumberFormat="1" applyFont="1" applyFill="1" applyBorder="1" applyAlignment="1">
      <alignment horizontal="right" vertical="center"/>
    </xf>
    <xf numFmtId="0" fontId="4" fillId="0" borderId="3" xfId="2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/>
    </xf>
    <xf numFmtId="0" fontId="7" fillId="0" borderId="11" xfId="0" applyFont="1" applyFill="1" applyBorder="1" applyAlignment="1">
      <alignment horizontal="left" vertical="center" wrapText="1"/>
    </xf>
    <xf numFmtId="0" fontId="4" fillId="0" borderId="14" xfId="0" applyFont="1" applyBorder="1" applyAlignment="1">
      <alignment horizontal="center" vertical="center" wrapText="1"/>
    </xf>
    <xf numFmtId="2" fontId="4" fillId="0" borderId="15" xfId="2" applyNumberFormat="1" applyFont="1" applyFill="1" applyBorder="1" applyAlignment="1">
      <alignment horizontal="center" vertical="center" wrapText="1"/>
    </xf>
    <xf numFmtId="2" fontId="4" fillId="0" borderId="15" xfId="2" applyNumberFormat="1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15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3" fillId="0" borderId="0" xfId="2" applyFont="1" applyFill="1"/>
    <xf numFmtId="0" fontId="20" fillId="0" borderId="0" xfId="0" applyFont="1" applyAlignment="1">
      <alignment horizontal="left" wrapText="1"/>
    </xf>
    <xf numFmtId="0" fontId="21" fillId="0" borderId="0" xfId="2" applyFont="1" applyAlignment="1">
      <alignment vertical="center"/>
    </xf>
    <xf numFmtId="0" fontId="22" fillId="0" borderId="0" xfId="5" applyFont="1" applyAlignment="1" applyProtection="1"/>
  </cellXfs>
  <cellStyles count="122">
    <cellStyle name="Обычный 2" xfId="24"/>
    <cellStyle name="Обычный_SYMANTEC_FEB08_D" xfId="6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 2" xfId="5"/>
    <cellStyle name="Normal" xfId="0" builtinId="0"/>
    <cellStyle name="Normal 2" xfId="2"/>
    <cellStyle name="Normal 2 2" xfId="7"/>
    <cellStyle name="Normal 2 2 2" xfId="8"/>
    <cellStyle name="Normal 2 2 2 2" xfId="9"/>
    <cellStyle name="Normal 2 2 3" xfId="71"/>
    <cellStyle name="Normal 3" xfId="10"/>
    <cellStyle name="Normal 4" xfId="1"/>
    <cellStyle name="Normal_Akt_f2 Server Room_RP_03-2014.xls" xfId="3"/>
    <cellStyle name="Normal_Oferta_canal_metalic-lucrari_upd GO.xls" xfId="4"/>
    <cellStyle name="Style 1" xfId="1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50800</xdr:colOff>
      <xdr:row>4</xdr:row>
      <xdr:rowOff>177799</xdr:rowOff>
    </xdr:from>
    <xdr:ext cx="2413000" cy="546101"/>
    <xdr:sp macro="" textlink="">
      <xdr:nvSpPr>
        <xdr:cNvPr id="2" name="Text Box 2"/>
        <xdr:cNvSpPr txBox="1">
          <a:spLocks noChangeArrowheads="1"/>
        </xdr:cNvSpPr>
      </xdr:nvSpPr>
      <xdr:spPr bwMode="auto">
        <a:xfrm>
          <a:off x="50800" y="939799"/>
          <a:ext cx="2413000" cy="54610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91440" tIns="45720" rIns="91440" bIns="45720" anchor="t" upright="1">
          <a:noAutofit/>
        </a:bodyPr>
        <a:lstStyle/>
        <a:p>
          <a:pPr algn="l" rtl="0">
            <a:defRPr sz="1000"/>
          </a:pPr>
          <a:r>
            <a:rPr lang="pt-BR" sz="900" b="1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SISTEM INTEGRAT CERTIFICAT</a:t>
          </a:r>
        </a:p>
        <a:p>
          <a:pPr algn="l" rtl="0">
            <a:defRPr sz="1000"/>
          </a:pPr>
          <a:r>
            <a:rPr lang="pt-BR" sz="900" b="1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ISO 9001, nr. c. 231/13</a:t>
          </a:r>
        </a:p>
        <a:p>
          <a:pPr algn="l" rtl="0">
            <a:lnSpc>
              <a:spcPts val="1000"/>
            </a:lnSpc>
            <a:defRPr sz="1000"/>
          </a:pPr>
          <a:r>
            <a:rPr lang="pt-BR" sz="900" b="1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ISO/IEC 27001, nr. c. 29616/13/R</a:t>
          </a:r>
        </a:p>
        <a:p>
          <a:pPr algn="l" rtl="0">
            <a:lnSpc>
              <a:spcPts val="1000"/>
            </a:lnSpc>
            <a:defRPr sz="1000"/>
          </a:pPr>
          <a:endParaRPr lang="pt-BR" sz="900" b="1" i="0" u="none" strike="noStrike" baseline="0">
            <a:solidFill>
              <a:srgbClr val="000000"/>
            </a:solidFill>
            <a:latin typeface="Verdana"/>
            <a:ea typeface="Verdana"/>
            <a:cs typeface="Verdana"/>
          </a:endParaRPr>
        </a:p>
      </xdr:txBody>
    </xdr:sp>
    <xdr:clientData/>
  </xdr:oneCellAnchor>
  <xdr:twoCellAnchor editAs="oneCell">
    <xdr:from>
      <xdr:col>0</xdr:col>
      <xdr:colOff>215900</xdr:colOff>
      <xdr:row>0</xdr:row>
      <xdr:rowOff>0</xdr:rowOff>
    </xdr:from>
    <xdr:to>
      <xdr:col>1</xdr:col>
      <xdr:colOff>1358900</xdr:colOff>
      <xdr:row>4</xdr:row>
      <xdr:rowOff>145961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0"/>
          <a:ext cx="1371600" cy="907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H47"/>
  <sheetViews>
    <sheetView tabSelected="1" workbookViewId="0">
      <selection activeCell="H56" sqref="H56"/>
    </sheetView>
  </sheetViews>
  <sheetFormatPr baseColWidth="10" defaultRowHeight="12" x14ac:dyDescent="0"/>
  <cols>
    <col min="1" max="1" width="3" style="1" customWidth="1"/>
    <col min="2" max="2" width="37" style="1" customWidth="1"/>
    <col min="3" max="3" width="5.83203125" style="1" customWidth="1"/>
    <col min="4" max="4" width="7.1640625" style="1" customWidth="1"/>
    <col min="5" max="6" width="8.1640625" style="1" customWidth="1"/>
    <col min="7" max="7" width="9.1640625" style="1" customWidth="1"/>
    <col min="8" max="8" width="8.1640625" style="1" customWidth="1"/>
    <col min="9" max="16384" width="10.83203125" style="1"/>
  </cols>
  <sheetData>
    <row r="1" spans="1:8" ht="15">
      <c r="H1" s="2" t="s">
        <v>0</v>
      </c>
    </row>
    <row r="2" spans="1:8" ht="15">
      <c r="H2" s="3" t="s">
        <v>1</v>
      </c>
    </row>
    <row r="3" spans="1:8" ht="15">
      <c r="H3" s="3" t="s">
        <v>2</v>
      </c>
    </row>
    <row r="4" spans="1:8" ht="15">
      <c r="H4" s="3" t="s">
        <v>3</v>
      </c>
    </row>
    <row r="5" spans="1:8" ht="15">
      <c r="H5" s="3" t="s">
        <v>4</v>
      </c>
    </row>
    <row r="6" spans="1:8" ht="15">
      <c r="H6" s="3" t="s">
        <v>5</v>
      </c>
    </row>
    <row r="7" spans="1:8" ht="15">
      <c r="H7" s="3" t="s">
        <v>6</v>
      </c>
    </row>
    <row r="8" spans="1:8" ht="15">
      <c r="H8" s="3" t="s">
        <v>7</v>
      </c>
    </row>
    <row r="12" spans="1:8">
      <c r="C12" s="4"/>
    </row>
    <row r="13" spans="1:8" s="5" customFormat="1" ht="18">
      <c r="C13" s="6" t="s">
        <v>45</v>
      </c>
    </row>
    <row r="14" spans="1:8" s="10" customFormat="1" ht="13">
      <c r="A14" s="7"/>
      <c r="B14" s="8"/>
      <c r="C14" s="9"/>
      <c r="D14" s="9"/>
      <c r="E14" s="9"/>
      <c r="G14" s="71"/>
      <c r="H14" s="71"/>
    </row>
    <row r="15" spans="1:8" s="9" customFormat="1" ht="43" customHeight="1">
      <c r="A15" s="11"/>
      <c r="B15" s="72" t="s">
        <v>48</v>
      </c>
      <c r="C15" s="72"/>
      <c r="D15" s="72"/>
      <c r="E15" s="72"/>
      <c r="F15" s="72"/>
      <c r="G15" s="71"/>
      <c r="H15" s="71"/>
    </row>
    <row r="16" spans="1:8" s="15" customFormat="1" ht="13">
      <c r="A16" s="12"/>
      <c r="B16" s="13"/>
      <c r="C16" s="9"/>
      <c r="D16" s="16"/>
      <c r="E16" s="9"/>
      <c r="F16" s="14"/>
      <c r="G16" s="71"/>
      <c r="H16" s="71"/>
    </row>
    <row r="17" spans="1:8" s="9" customFormat="1" ht="15">
      <c r="A17" s="11"/>
      <c r="B17" s="73" t="s">
        <v>8</v>
      </c>
      <c r="D17" s="16"/>
      <c r="F17" s="1"/>
      <c r="G17" s="71"/>
      <c r="H17" s="33">
        <v>45954</v>
      </c>
    </row>
    <row r="18" spans="1:8" ht="13">
      <c r="B18" s="74"/>
    </row>
    <row r="19" spans="1:8" ht="36">
      <c r="A19" s="17" t="s">
        <v>9</v>
      </c>
      <c r="B19" s="34" t="s">
        <v>10</v>
      </c>
      <c r="C19" s="35" t="s">
        <v>11</v>
      </c>
      <c r="D19" s="35" t="s">
        <v>12</v>
      </c>
      <c r="E19" s="36" t="s">
        <v>13</v>
      </c>
      <c r="F19" s="36" t="s">
        <v>14</v>
      </c>
      <c r="G19" s="36" t="s">
        <v>15</v>
      </c>
      <c r="H19" s="36" t="s">
        <v>16</v>
      </c>
    </row>
    <row r="20" spans="1:8">
      <c r="A20" s="18" t="s">
        <v>17</v>
      </c>
      <c r="B20" s="37"/>
      <c r="C20" s="38"/>
      <c r="D20" s="39"/>
      <c r="E20" s="39"/>
      <c r="F20" s="39"/>
      <c r="G20" s="40"/>
      <c r="H20" s="40"/>
    </row>
    <row r="21" spans="1:8">
      <c r="A21" s="19">
        <v>1</v>
      </c>
      <c r="B21" s="20" t="s">
        <v>18</v>
      </c>
      <c r="C21" s="21" t="s">
        <v>19</v>
      </c>
      <c r="D21" s="22">
        <v>2</v>
      </c>
      <c r="E21" s="23">
        <f>F21/1.2</f>
        <v>16.666666666666668</v>
      </c>
      <c r="F21" s="23">
        <v>20</v>
      </c>
      <c r="G21" s="24">
        <f>H21/1.2</f>
        <v>33.333333333333336</v>
      </c>
      <c r="H21" s="24">
        <f>F21*D21</f>
        <v>40</v>
      </c>
    </row>
    <row r="22" spans="1:8">
      <c r="A22" s="19">
        <v>2</v>
      </c>
      <c r="B22" s="41" t="s">
        <v>20</v>
      </c>
      <c r="C22" s="42" t="s">
        <v>19</v>
      </c>
      <c r="D22" s="43">
        <v>24</v>
      </c>
      <c r="E22" s="23">
        <f t="shared" ref="E22:E33" si="0">F22/1.2</f>
        <v>66.666666666666671</v>
      </c>
      <c r="F22" s="44">
        <v>80</v>
      </c>
      <c r="G22" s="24">
        <f t="shared" ref="G22:G33" si="1">H22/1.2</f>
        <v>1600</v>
      </c>
      <c r="H22" s="24">
        <f t="shared" ref="H22:H33" si="2">F22*D22</f>
        <v>1920</v>
      </c>
    </row>
    <row r="23" spans="1:8">
      <c r="A23" s="19">
        <v>3</v>
      </c>
      <c r="B23" s="41" t="s">
        <v>21</v>
      </c>
      <c r="C23" s="42" t="s">
        <v>19</v>
      </c>
      <c r="D23" s="43">
        <f>1055</f>
        <v>1055</v>
      </c>
      <c r="E23" s="23">
        <f t="shared" si="0"/>
        <v>5.5833333333333339</v>
      </c>
      <c r="F23" s="44">
        <v>6.7</v>
      </c>
      <c r="G23" s="24">
        <f t="shared" si="1"/>
        <v>5890.416666666667</v>
      </c>
      <c r="H23" s="24">
        <f t="shared" si="2"/>
        <v>7068.5</v>
      </c>
    </row>
    <row r="24" spans="1:8">
      <c r="A24" s="19">
        <v>4</v>
      </c>
      <c r="B24" s="20" t="s">
        <v>36</v>
      </c>
      <c r="C24" s="21" t="s">
        <v>19</v>
      </c>
      <c r="D24" s="22">
        <v>210</v>
      </c>
      <c r="E24" s="23">
        <f t="shared" si="0"/>
        <v>20.833333333333336</v>
      </c>
      <c r="F24" s="23">
        <v>25</v>
      </c>
      <c r="G24" s="24">
        <f t="shared" si="1"/>
        <v>4375</v>
      </c>
      <c r="H24" s="24">
        <f t="shared" si="2"/>
        <v>5250</v>
      </c>
    </row>
    <row r="25" spans="1:8">
      <c r="A25" s="19">
        <v>5</v>
      </c>
      <c r="B25" s="20" t="s">
        <v>23</v>
      </c>
      <c r="C25" s="21" t="s">
        <v>22</v>
      </c>
      <c r="D25" s="22">
        <f>36*2</f>
        <v>72</v>
      </c>
      <c r="E25" s="23">
        <f t="shared" si="0"/>
        <v>2.5</v>
      </c>
      <c r="F25" s="25">
        <v>3</v>
      </c>
      <c r="G25" s="24">
        <f t="shared" si="1"/>
        <v>180</v>
      </c>
      <c r="H25" s="24">
        <f t="shared" si="2"/>
        <v>216</v>
      </c>
    </row>
    <row r="26" spans="1:8">
      <c r="A26" s="19">
        <v>6</v>
      </c>
      <c r="B26" s="20" t="s">
        <v>44</v>
      </c>
      <c r="C26" s="21" t="s">
        <v>22</v>
      </c>
      <c r="D26" s="22">
        <v>1</v>
      </c>
      <c r="E26" s="23">
        <f t="shared" si="0"/>
        <v>20.833333333333336</v>
      </c>
      <c r="F26" s="25">
        <v>25</v>
      </c>
      <c r="G26" s="24">
        <f t="shared" si="1"/>
        <v>20.833333333333336</v>
      </c>
      <c r="H26" s="24">
        <f t="shared" si="2"/>
        <v>25</v>
      </c>
    </row>
    <row r="27" spans="1:8">
      <c r="A27" s="19">
        <v>7</v>
      </c>
      <c r="B27" s="20" t="s">
        <v>42</v>
      </c>
      <c r="C27" s="21" t="s">
        <v>22</v>
      </c>
      <c r="D27" s="22">
        <v>1</v>
      </c>
      <c r="E27" s="23">
        <f t="shared" si="0"/>
        <v>29.166666666666668</v>
      </c>
      <c r="F27" s="25">
        <v>35</v>
      </c>
      <c r="G27" s="24">
        <f t="shared" si="1"/>
        <v>29.166666666666668</v>
      </c>
      <c r="H27" s="24">
        <f t="shared" si="2"/>
        <v>35</v>
      </c>
    </row>
    <row r="28" spans="1:8">
      <c r="A28" s="19">
        <v>8</v>
      </c>
      <c r="B28" s="20" t="s">
        <v>41</v>
      </c>
      <c r="C28" s="21" t="s">
        <v>22</v>
      </c>
      <c r="D28" s="22">
        <v>0</v>
      </c>
      <c r="E28" s="23">
        <f t="shared" si="0"/>
        <v>33.333333333333336</v>
      </c>
      <c r="F28" s="25">
        <v>40</v>
      </c>
      <c r="G28" s="24">
        <f t="shared" si="1"/>
        <v>0</v>
      </c>
      <c r="H28" s="24">
        <f t="shared" si="2"/>
        <v>0</v>
      </c>
    </row>
    <row r="29" spans="1:8">
      <c r="A29" s="19">
        <v>9</v>
      </c>
      <c r="B29" s="20" t="s">
        <v>40</v>
      </c>
      <c r="C29" s="21" t="s">
        <v>22</v>
      </c>
      <c r="D29" s="22">
        <v>11</v>
      </c>
      <c r="E29" s="23">
        <f t="shared" si="0"/>
        <v>37.5</v>
      </c>
      <c r="F29" s="25">
        <v>45</v>
      </c>
      <c r="G29" s="24">
        <f>H29/1.2</f>
        <v>412.5</v>
      </c>
      <c r="H29" s="24">
        <f>F29*D29</f>
        <v>495</v>
      </c>
    </row>
    <row r="30" spans="1:8">
      <c r="A30" s="19">
        <v>10</v>
      </c>
      <c r="B30" s="20" t="s">
        <v>39</v>
      </c>
      <c r="C30" s="61" t="s">
        <v>22</v>
      </c>
      <c r="D30" s="22">
        <v>11</v>
      </c>
      <c r="E30" s="23">
        <f t="shared" si="0"/>
        <v>15</v>
      </c>
      <c r="F30" s="25">
        <v>18</v>
      </c>
      <c r="G30" s="24">
        <f t="shared" ref="G30" si="3">H30/1.2</f>
        <v>165</v>
      </c>
      <c r="H30" s="24">
        <f t="shared" ref="H30" si="4">F30*D30</f>
        <v>198</v>
      </c>
    </row>
    <row r="31" spans="1:8">
      <c r="A31" s="19">
        <v>11</v>
      </c>
      <c r="B31" s="20" t="s">
        <v>37</v>
      </c>
      <c r="C31" s="21" t="s">
        <v>22</v>
      </c>
      <c r="D31" s="43">
        <v>300</v>
      </c>
      <c r="E31" s="23">
        <f t="shared" si="0"/>
        <v>0.58333333333333337</v>
      </c>
      <c r="F31" s="45">
        <v>0.7</v>
      </c>
      <c r="G31" s="24">
        <f t="shared" si="1"/>
        <v>175</v>
      </c>
      <c r="H31" s="24">
        <f t="shared" si="2"/>
        <v>210</v>
      </c>
    </row>
    <row r="32" spans="1:8">
      <c r="A32" s="19">
        <v>12</v>
      </c>
      <c r="B32" s="20" t="s">
        <v>38</v>
      </c>
      <c r="C32" s="21" t="s">
        <v>22</v>
      </c>
      <c r="D32" s="43">
        <v>50</v>
      </c>
      <c r="E32" s="23">
        <f t="shared" si="0"/>
        <v>1.25</v>
      </c>
      <c r="F32" s="23">
        <v>1.5</v>
      </c>
      <c r="G32" s="24">
        <f t="shared" si="1"/>
        <v>62.5</v>
      </c>
      <c r="H32" s="24">
        <f t="shared" si="2"/>
        <v>75</v>
      </c>
    </row>
    <row r="33" spans="1:8">
      <c r="A33" s="19">
        <v>13</v>
      </c>
      <c r="B33" s="41" t="s">
        <v>24</v>
      </c>
      <c r="C33" s="42" t="s">
        <v>22</v>
      </c>
      <c r="D33" s="43">
        <v>100</v>
      </c>
      <c r="E33" s="23">
        <f t="shared" si="0"/>
        <v>0.5</v>
      </c>
      <c r="F33" s="44">
        <v>0.6</v>
      </c>
      <c r="G33" s="24">
        <f t="shared" si="1"/>
        <v>50</v>
      </c>
      <c r="H33" s="24">
        <f t="shared" si="2"/>
        <v>60</v>
      </c>
    </row>
    <row r="34" spans="1:8">
      <c r="A34" s="26"/>
      <c r="B34" s="46" t="s">
        <v>25</v>
      </c>
      <c r="C34" s="47"/>
      <c r="D34" s="47"/>
      <c r="E34" s="47"/>
      <c r="F34" s="42"/>
      <c r="G34" s="30">
        <f>SUM(G21:G33)</f>
        <v>12993.75</v>
      </c>
      <c r="H34" s="30">
        <f>SUM(H21:H33)</f>
        <v>15592.5</v>
      </c>
    </row>
    <row r="35" spans="1:8">
      <c r="A35" s="27" t="s">
        <v>26</v>
      </c>
      <c r="B35" s="48"/>
      <c r="C35" s="48"/>
      <c r="D35" s="49"/>
      <c r="E35" s="49"/>
      <c r="F35" s="49"/>
      <c r="G35" s="50"/>
      <c r="H35" s="40"/>
    </row>
    <row r="36" spans="1:8">
      <c r="A36" s="62"/>
      <c r="B36" s="63"/>
      <c r="C36" s="63"/>
      <c r="D36" s="49"/>
      <c r="E36" s="49"/>
      <c r="F36" s="49"/>
      <c r="G36" s="50"/>
      <c r="H36" s="40"/>
    </row>
    <row r="37" spans="1:8">
      <c r="A37" s="19">
        <v>1</v>
      </c>
      <c r="B37" s="51" t="s">
        <v>27</v>
      </c>
      <c r="C37" s="42" t="s">
        <v>19</v>
      </c>
      <c r="D37" s="43">
        <f>D21+D22</f>
        <v>26</v>
      </c>
      <c r="E37" s="23">
        <f t="shared" ref="E37:E45" si="5">F37/1.2</f>
        <v>19.583333333333336</v>
      </c>
      <c r="F37" s="44">
        <v>23.5</v>
      </c>
      <c r="G37" s="24">
        <f>H37/1.2</f>
        <v>509.16666666666669</v>
      </c>
      <c r="H37" s="24">
        <f t="shared" ref="H37:H45" si="6">F37*D37</f>
        <v>611</v>
      </c>
    </row>
    <row r="38" spans="1:8">
      <c r="A38" s="19">
        <v>2</v>
      </c>
      <c r="B38" s="31" t="s">
        <v>43</v>
      </c>
      <c r="C38" s="21" t="s">
        <v>19</v>
      </c>
      <c r="D38" s="22">
        <f>D23</f>
        <v>1055</v>
      </c>
      <c r="E38" s="23">
        <f>F38/1.2</f>
        <v>5</v>
      </c>
      <c r="F38" s="23">
        <v>6</v>
      </c>
      <c r="G38" s="24">
        <f>H38/1.2</f>
        <v>5275</v>
      </c>
      <c r="H38" s="32">
        <f>F38*D38</f>
        <v>6330</v>
      </c>
    </row>
    <row r="39" spans="1:8">
      <c r="A39" s="19">
        <v>3</v>
      </c>
      <c r="B39" s="51" t="s">
        <v>28</v>
      </c>
      <c r="C39" s="42" t="s">
        <v>22</v>
      </c>
      <c r="D39" s="43">
        <v>66</v>
      </c>
      <c r="E39" s="23">
        <f t="shared" si="5"/>
        <v>20.833333333333336</v>
      </c>
      <c r="F39" s="44">
        <v>25</v>
      </c>
      <c r="G39" s="24">
        <f t="shared" ref="G39:G45" si="7">H39/1.2</f>
        <v>1375</v>
      </c>
      <c r="H39" s="24">
        <f t="shared" si="6"/>
        <v>1650</v>
      </c>
    </row>
    <row r="40" spans="1:8">
      <c r="A40" s="19">
        <v>4</v>
      </c>
      <c r="B40" s="51" t="s">
        <v>29</v>
      </c>
      <c r="C40" s="42" t="s">
        <v>22</v>
      </c>
      <c r="D40" s="43">
        <v>1</v>
      </c>
      <c r="E40" s="23">
        <f t="shared" si="5"/>
        <v>291.66666666666669</v>
      </c>
      <c r="F40" s="44">
        <v>350</v>
      </c>
      <c r="G40" s="24">
        <f t="shared" si="7"/>
        <v>291.66666666666669</v>
      </c>
      <c r="H40" s="24">
        <f t="shared" si="6"/>
        <v>350</v>
      </c>
    </row>
    <row r="41" spans="1:8">
      <c r="A41" s="19">
        <v>5</v>
      </c>
      <c r="B41" s="51" t="s">
        <v>30</v>
      </c>
      <c r="C41" s="42" t="s">
        <v>22</v>
      </c>
      <c r="D41" s="43">
        <v>1</v>
      </c>
      <c r="E41" s="23">
        <f t="shared" si="5"/>
        <v>12.5</v>
      </c>
      <c r="F41" s="44">
        <v>15</v>
      </c>
      <c r="G41" s="24">
        <f t="shared" si="7"/>
        <v>12.5</v>
      </c>
      <c r="H41" s="24">
        <f t="shared" si="6"/>
        <v>15</v>
      </c>
    </row>
    <row r="42" spans="1:8">
      <c r="A42" s="19">
        <v>6</v>
      </c>
      <c r="B42" s="51" t="s">
        <v>31</v>
      </c>
      <c r="C42" s="42" t="s">
        <v>22</v>
      </c>
      <c r="D42" s="43">
        <f>D24</f>
        <v>210</v>
      </c>
      <c r="E42" s="23">
        <f t="shared" si="5"/>
        <v>13.333333333333334</v>
      </c>
      <c r="F42" s="44">
        <v>16</v>
      </c>
      <c r="G42" s="24">
        <f t="shared" si="7"/>
        <v>2800</v>
      </c>
      <c r="H42" s="24">
        <f t="shared" si="6"/>
        <v>3360</v>
      </c>
    </row>
    <row r="43" spans="1:8" ht="24">
      <c r="A43" s="19">
        <v>7</v>
      </c>
      <c r="B43" s="51" t="s">
        <v>32</v>
      </c>
      <c r="C43" s="42" t="s">
        <v>22</v>
      </c>
      <c r="D43" s="43">
        <f>D30+D29+D28+D27</f>
        <v>23</v>
      </c>
      <c r="E43" s="23">
        <f t="shared" si="5"/>
        <v>41.666666666666671</v>
      </c>
      <c r="F43" s="44">
        <v>50</v>
      </c>
      <c r="G43" s="24">
        <f t="shared" si="7"/>
        <v>958.33333333333337</v>
      </c>
      <c r="H43" s="24">
        <f t="shared" si="6"/>
        <v>1150</v>
      </c>
    </row>
    <row r="44" spans="1:8" ht="24">
      <c r="A44" s="64">
        <v>8</v>
      </c>
      <c r="B44" s="52" t="s">
        <v>33</v>
      </c>
      <c r="C44" s="53" t="s">
        <v>22</v>
      </c>
      <c r="D44" s="54">
        <v>36</v>
      </c>
      <c r="E44" s="65">
        <f t="shared" si="5"/>
        <v>25</v>
      </c>
      <c r="F44" s="55">
        <v>30</v>
      </c>
      <c r="G44" s="66">
        <f t="shared" si="7"/>
        <v>900</v>
      </c>
      <c r="H44" s="66">
        <f t="shared" si="6"/>
        <v>1080</v>
      </c>
    </row>
    <row r="45" spans="1:8">
      <c r="A45" s="67">
        <v>9</v>
      </c>
      <c r="B45" s="68" t="s">
        <v>46</v>
      </c>
      <c r="C45" s="69" t="s">
        <v>47</v>
      </c>
      <c r="D45" s="70">
        <f>200*2*2</f>
        <v>800</v>
      </c>
      <c r="E45" s="65">
        <f t="shared" si="5"/>
        <v>6.25</v>
      </c>
      <c r="F45" s="25">
        <v>7.5</v>
      </c>
      <c r="G45" s="66">
        <f t="shared" si="7"/>
        <v>5000</v>
      </c>
      <c r="H45" s="66">
        <f t="shared" si="6"/>
        <v>6000</v>
      </c>
    </row>
    <row r="46" spans="1:8">
      <c r="A46" s="28"/>
      <c r="B46" s="56" t="s">
        <v>34</v>
      </c>
      <c r="C46" s="57"/>
      <c r="D46" s="57"/>
      <c r="E46" s="57"/>
      <c r="F46" s="58"/>
      <c r="G46" s="30">
        <f>SUM(G37:G44)</f>
        <v>12121.666666666668</v>
      </c>
      <c r="H46" s="30">
        <f>SUM(H37:H44)</f>
        <v>14546</v>
      </c>
    </row>
    <row r="47" spans="1:8">
      <c r="A47" s="29"/>
      <c r="B47" s="59" t="s">
        <v>35</v>
      </c>
      <c r="C47" s="49"/>
      <c r="D47" s="49"/>
      <c r="E47" s="49"/>
      <c r="F47" s="39"/>
      <c r="G47" s="60">
        <f>G46+G34</f>
        <v>25115.416666666668</v>
      </c>
      <c r="H47" s="60">
        <f>H46+H34</f>
        <v>30138.5</v>
      </c>
    </row>
  </sheetData>
  <mergeCells count="1">
    <mergeCell ref="B15:F15"/>
  </mergeCells>
  <pageMargins left="0.39000000000000007" right="0.39000000000000007" top="0.39000000000000007" bottom="0.39000000000000007" header="0.39000000000000007" footer="0.39000000000000007"/>
  <drawing r:id="rId1"/>
  <extLst>
    <ext xmlns:mx="http://schemas.microsoft.com/office/mac/excel/2008/main" uri="{64002731-A6B0-56B0-2670-7721B7C09600}">
      <mx:PLV Mode="0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"/>
  <sheetData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MICB 30 sm (2) акт =act_sm</vt:lpstr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2025-10-24T10:52:19Z</cp:lastPrinted>
  <dcterms:created xsi:type="dcterms:W3CDTF">2025-02-20T07:01:01Z</dcterms:created>
  <dcterms:modified xsi:type="dcterms:W3CDTF">2025-10-31T12:29:18Z</dcterms:modified>
</cp:coreProperties>
</file>